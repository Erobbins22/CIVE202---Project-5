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uofnebraska-my.sharepoint.com/personal/66300892_nebraska_edu/Documents/CIVE 202/"/>
    </mc:Choice>
  </mc:AlternateContent>
  <xr:revisionPtr revIDLastSave="138" documentId="8_{D33ACE97-B630-4D06-8E70-5CF6A2C5D616}" xr6:coauthVersionLast="47" xr6:coauthVersionMax="47" xr10:uidLastSave="{9AD16942-3464-405D-9F0B-AC4C89F259ED}"/>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6" i="11" l="1"/>
  <c r="AR6" i="11"/>
  <c r="AQ6" i="11"/>
  <c r="AP6" i="11"/>
  <c r="AO6" i="11"/>
  <c r="AN6" i="11"/>
  <c r="AM6" i="11"/>
  <c r="AL6" i="11"/>
  <c r="AK6" i="11"/>
  <c r="AJ6" i="11"/>
  <c r="AI6" i="11"/>
  <c r="AH6" i="11"/>
  <c r="AG6" i="11"/>
  <c r="AF6" i="11"/>
  <c r="AE6" i="11"/>
  <c r="AD6" i="11"/>
  <c r="AC6" i="11"/>
  <c r="AB6" i="11"/>
  <c r="AA6" i="11"/>
  <c r="Z6" i="11"/>
  <c r="Y6" i="11"/>
  <c r="X6" i="11"/>
  <c r="W6" i="11"/>
  <c r="F15" i="11"/>
  <c r="E31" i="11"/>
  <c r="E30" i="11"/>
  <c r="E29" i="11"/>
  <c r="E28" i="11"/>
  <c r="E27" i="11"/>
  <c r="E22" i="11"/>
  <c r="E21" i="11"/>
  <c r="E12" i="11"/>
  <c r="E11" i="11"/>
  <c r="E10" i="11"/>
  <c r="E16" i="11"/>
  <c r="H7" i="11"/>
  <c r="I5" i="11" l="1"/>
  <c r="H33" i="11"/>
  <c r="H32" i="11"/>
  <c r="H26" i="11"/>
  <c r="H20" i="11"/>
  <c r="H14" i="11"/>
  <c r="H8" i="11"/>
  <c r="H22" i="11" l="1"/>
  <c r="H13" i="11"/>
  <c r="H21" i="11"/>
  <c r="H9" i="11"/>
  <c r="I6" i="11"/>
  <c r="H31" i="11" l="1"/>
  <c r="H30" i="11"/>
  <c r="H27" i="11"/>
  <c r="H25" i="11"/>
  <c r="H10" i="11"/>
  <c r="H23" i="11"/>
  <c r="H15" i="11"/>
  <c r="J5" i="11"/>
  <c r="K5" i="11" s="1"/>
  <c r="L5" i="11" s="1"/>
  <c r="M5" i="11" s="1"/>
  <c r="N5" i="11" s="1"/>
  <c r="O5" i="11" s="1"/>
  <c r="P5" i="11" s="1"/>
  <c r="I4" i="11"/>
  <c r="H28" i="11" l="1"/>
  <c r="H29" i="11"/>
  <c r="H24" i="11"/>
  <c r="H16" i="11"/>
  <c r="H11" i="11"/>
  <c r="H12" i="11"/>
  <c r="P4" i="11"/>
  <c r="Q5" i="11"/>
  <c r="R5" i="11" s="1"/>
  <c r="S5" i="11" s="1"/>
  <c r="T5" i="11" s="1"/>
  <c r="U5" i="11" s="1"/>
  <c r="V5" i="11" s="1"/>
  <c r="W5" i="11" s="1"/>
  <c r="J6" i="11"/>
  <c r="H19" i="11" l="1"/>
  <c r="H18" i="11"/>
  <c r="H17" i="11"/>
  <c r="W4" i="11"/>
  <c r="X5" i="11"/>
  <c r="K6" i="11"/>
  <c r="L6" i="11" l="1"/>
  <c r="M6" i="11" l="1"/>
  <c r="N6" i="11" l="1"/>
  <c r="O6" i="11" l="1"/>
  <c r="P6" i="11" l="1"/>
  <c r="Q6" i="11"/>
  <c r="R6" i="11" l="1"/>
  <c r="S6" i="11" l="1"/>
  <c r="T6" i="11" l="1"/>
  <c r="U6" i="11" l="1"/>
  <c r="V6" i="11" l="1"/>
</calcChain>
</file>

<file path=xl/sharedStrings.xml><?xml version="1.0" encoding="utf-8"?>
<sst xmlns="http://schemas.openxmlformats.org/spreadsheetml/2006/main" count="87" uniqueCount="60">
  <si>
    <t>Project 5</t>
  </si>
  <si>
    <t>Project start:</t>
  </si>
  <si>
    <t>CIVE 202</t>
  </si>
  <si>
    <t>Display week:</t>
  </si>
  <si>
    <t>Sydney Bird, Emma Robbins, Lillian Strohl, Jaycee Aldrich</t>
  </si>
  <si>
    <t>Apr. 6, 2026</t>
  </si>
  <si>
    <t>Apr. 13, 2026</t>
  </si>
  <si>
    <t>TASK</t>
  </si>
  <si>
    <t>ASSIGNED TO</t>
  </si>
  <si>
    <t>PROGRESS</t>
  </si>
  <si>
    <t>START</t>
  </si>
  <si>
    <t>END</t>
  </si>
  <si>
    <t>W</t>
  </si>
  <si>
    <t>T</t>
  </si>
  <si>
    <t>F</t>
  </si>
  <si>
    <t>S</t>
  </si>
  <si>
    <t>M</t>
  </si>
  <si>
    <t xml:space="preserve">Do not delete this row. This row is hidden to preserve a formula that is used to highlight the current day within the project schedule. </t>
  </si>
  <si>
    <t>Project Outline</t>
  </si>
  <si>
    <t>Project Summary</t>
  </si>
  <si>
    <t>Sydney Bird</t>
  </si>
  <si>
    <t>Project Goals</t>
  </si>
  <si>
    <t>Lillian Strohl</t>
  </si>
  <si>
    <t>Project Tasks</t>
  </si>
  <si>
    <t>Jaycee Aldrich</t>
  </si>
  <si>
    <t>Project Deliverables</t>
  </si>
  <si>
    <t>Emma Robbins</t>
  </si>
  <si>
    <t>Technical Implementation</t>
  </si>
  <si>
    <t>Modular Functions</t>
  </si>
  <si>
    <t>User Input Prompts</t>
  </si>
  <si>
    <t>Calculation Engine/ Scenario Testing</t>
  </si>
  <si>
    <t>Data Visualization/ Plotting</t>
  </si>
  <si>
    <t>Git Hub</t>
  </si>
  <si>
    <t>ACD/User manual/Other</t>
  </si>
  <si>
    <t xml:space="preserve">ACD </t>
  </si>
  <si>
    <t>Design Scenarios</t>
  </si>
  <si>
    <t>User Manual</t>
  </si>
  <si>
    <t>Flow Chart</t>
  </si>
  <si>
    <t>Written Report</t>
  </si>
  <si>
    <t>Introduction</t>
  </si>
  <si>
    <t>Methods</t>
  </si>
  <si>
    <t>Results</t>
  </si>
  <si>
    <t>Discussion</t>
  </si>
  <si>
    <t>References</t>
  </si>
  <si>
    <t>All</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</si>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</sst>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8" zoomScaleNormal="100" zoomScalePageLayoutView="70" workbookViewId="0">
      <selection activeCell="C26" sqref="C26"/>
    </sheetView>
  </sheetViews>
  <sheetFormatPr defaultColWidth="8.75" defaultRowHeight="30" customHeight="1"/>
  <cols>
    <col min="1" max="1" width="2.75" style="13" customWidth="1"/>
    <col min="2" max="2" width="38.2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4" t="s">
        <v>1</v>
      </c>
      <c r="J1" s="114"/>
      <c r="K1" s="114"/>
      <c r="L1" s="114"/>
      <c r="M1" s="114"/>
      <c r="N1" s="114"/>
      <c r="O1" s="114"/>
      <c r="P1" s="24"/>
      <c r="Q1" s="113">
        <v>46076</v>
      </c>
      <c r="R1" s="113"/>
      <c r="S1" s="113"/>
      <c r="T1" s="113"/>
      <c r="U1" s="113"/>
      <c r="V1" s="113"/>
      <c r="W1" s="113"/>
      <c r="X1" s="113"/>
      <c r="Y1" s="113"/>
      <c r="Z1" s="113"/>
    </row>
    <row r="2" spans="1:64" ht="30" customHeight="1">
      <c r="B2" s="96" t="s">
        <v>2</v>
      </c>
      <c r="C2" s="97"/>
      <c r="D2" s="22"/>
      <c r="E2" s="23"/>
      <c r="F2" s="22"/>
      <c r="I2" s="114" t="s">
        <v>3</v>
      </c>
      <c r="J2" s="114"/>
      <c r="K2" s="114"/>
      <c r="L2" s="114"/>
      <c r="M2" s="114"/>
      <c r="N2" s="114"/>
      <c r="O2" s="114"/>
      <c r="P2" s="24"/>
      <c r="Q2" s="112">
        <v>1</v>
      </c>
      <c r="R2" s="112"/>
      <c r="S2" s="112"/>
      <c r="T2" s="112"/>
      <c r="U2" s="112"/>
      <c r="V2" s="112"/>
      <c r="W2" s="112"/>
      <c r="X2" s="112"/>
      <c r="Y2" s="112"/>
      <c r="Z2" s="112"/>
    </row>
    <row r="3" spans="1:64" s="26" customFormat="1" ht="30" customHeight="1">
      <c r="A3" s="13"/>
      <c r="B3" s="25" t="s">
        <v>4</v>
      </c>
      <c r="D3" s="27"/>
      <c r="E3" s="28"/>
    </row>
    <row r="4" spans="1:64" s="26" customFormat="1" ht="30" customHeight="1">
      <c r="A4" s="14"/>
      <c r="B4" s="29"/>
      <c r="E4" s="30"/>
      <c r="I4" s="116">
        <f>I5</f>
        <v>46076</v>
      </c>
      <c r="J4" s="116"/>
      <c r="K4" s="116"/>
      <c r="L4" s="116"/>
      <c r="M4" s="116"/>
      <c r="N4" s="116"/>
      <c r="O4" s="116"/>
      <c r="P4" s="115">
        <f>P5</f>
        <v>46083</v>
      </c>
      <c r="Q4" s="115"/>
      <c r="R4" s="115"/>
      <c r="S4" s="115"/>
      <c r="T4" s="115"/>
      <c r="U4" s="115"/>
      <c r="V4" s="115"/>
      <c r="W4" s="115">
        <f>W5</f>
        <v>46090</v>
      </c>
      <c r="X4" s="115"/>
      <c r="Y4" s="115"/>
      <c r="Z4" s="115"/>
      <c r="AA4" s="115"/>
      <c r="AB4" s="115"/>
      <c r="AC4" s="115"/>
      <c r="AD4" s="115">
        <v>46097</v>
      </c>
      <c r="AE4" s="115"/>
      <c r="AF4" s="115"/>
      <c r="AG4" s="115"/>
      <c r="AH4" s="115"/>
      <c r="AI4" s="115"/>
      <c r="AJ4" s="115"/>
      <c r="AK4" s="115">
        <v>46104</v>
      </c>
      <c r="AL4" s="115"/>
      <c r="AM4" s="115"/>
      <c r="AN4" s="115"/>
      <c r="AO4" s="115"/>
      <c r="AP4" s="115"/>
      <c r="AQ4" s="115"/>
      <c r="AR4" s="115">
        <v>46111</v>
      </c>
      <c r="AS4" s="115"/>
      <c r="AT4" s="115"/>
      <c r="AU4" s="115"/>
      <c r="AV4" s="115"/>
      <c r="AW4" s="115"/>
      <c r="AX4" s="115"/>
      <c r="AY4" s="115" t="s">
        <v>5</v>
      </c>
      <c r="AZ4" s="115"/>
      <c r="BA4" s="115"/>
      <c r="BB4" s="115"/>
      <c r="BC4" s="115"/>
      <c r="BD4" s="115"/>
      <c r="BE4" s="115"/>
      <c r="BF4" s="115" t="s">
        <v>6</v>
      </c>
      <c r="BG4" s="115"/>
      <c r="BH4" s="115"/>
      <c r="BI4" s="115"/>
      <c r="BJ4" s="115"/>
      <c r="BK4" s="115"/>
      <c r="BL4" s="115"/>
    </row>
    <row r="5" spans="1:64" s="26" customFormat="1" ht="15" customHeight="1">
      <c r="A5" s="108"/>
      <c r="B5" s="109" t="s">
        <v>7</v>
      </c>
      <c r="C5" s="110" t="s">
        <v>8</v>
      </c>
      <c r="D5" s="111" t="s">
        <v>9</v>
      </c>
      <c r="E5" s="111" t="s">
        <v>10</v>
      </c>
      <c r="F5" s="111" t="s">
        <v>11</v>
      </c>
      <c r="I5" s="31">
        <f>Project_Start-WEEKDAY(Project_Start,1)+2+7*(Display_Week-1)</f>
        <v>46076</v>
      </c>
      <c r="J5" s="31">
        <f>I5+1</f>
        <v>46077</v>
      </c>
      <c r="K5" s="31">
        <f t="shared" ref="K5:V5" si="0">J5+1</f>
        <v>46078</v>
      </c>
      <c r="L5" s="31">
        <f t="shared" si="0"/>
        <v>46079</v>
      </c>
      <c r="M5" s="31">
        <f t="shared" si="0"/>
        <v>46080</v>
      </c>
      <c r="N5" s="31">
        <f t="shared" si="0"/>
        <v>46081</v>
      </c>
      <c r="O5" s="32">
        <f t="shared" si="0"/>
        <v>46082</v>
      </c>
      <c r="P5" s="33">
        <f>O5+1</f>
        <v>46083</v>
      </c>
      <c r="Q5" s="31">
        <f>P5+1</f>
        <v>46084</v>
      </c>
      <c r="R5" s="31">
        <f t="shared" si="0"/>
        <v>46085</v>
      </c>
      <c r="S5" s="31">
        <f t="shared" si="0"/>
        <v>46086</v>
      </c>
      <c r="T5" s="31">
        <f t="shared" si="0"/>
        <v>46087</v>
      </c>
      <c r="U5" s="31">
        <f t="shared" si="0"/>
        <v>46088</v>
      </c>
      <c r="V5" s="32">
        <f t="shared" si="0"/>
        <v>46089</v>
      </c>
      <c r="W5" s="33">
        <f>V5+1</f>
        <v>46090</v>
      </c>
      <c r="X5" s="31">
        <f>W5+1</f>
        <v>46091</v>
      </c>
      <c r="Y5" s="31">
        <v>11</v>
      </c>
      <c r="Z5" s="31">
        <v>12</v>
      </c>
      <c r="AA5" s="31">
        <v>13</v>
      </c>
      <c r="AB5" s="31">
        <v>14</v>
      </c>
      <c r="AC5" s="31">
        <v>15</v>
      </c>
      <c r="AD5" s="31">
        <v>16</v>
      </c>
      <c r="AE5" s="31">
        <v>17</v>
      </c>
      <c r="AF5" s="31">
        <v>18</v>
      </c>
      <c r="AG5" s="31">
        <v>19</v>
      </c>
      <c r="AH5" s="31">
        <v>20</v>
      </c>
      <c r="AI5" s="31">
        <v>21</v>
      </c>
      <c r="AJ5" s="31">
        <v>22</v>
      </c>
      <c r="AK5" s="31">
        <v>23</v>
      </c>
      <c r="AL5" s="31">
        <v>24</v>
      </c>
      <c r="AM5" s="31">
        <v>25</v>
      </c>
      <c r="AN5" s="31">
        <v>26</v>
      </c>
      <c r="AO5" s="31">
        <v>27</v>
      </c>
      <c r="AP5" s="31">
        <v>28</v>
      </c>
      <c r="AQ5" s="31">
        <v>29</v>
      </c>
      <c r="AR5" s="31">
        <v>30</v>
      </c>
      <c r="AS5" s="31">
        <v>31</v>
      </c>
      <c r="AT5" s="31">
        <v>1</v>
      </c>
      <c r="AU5" s="31">
        <v>2</v>
      </c>
      <c r="AV5" s="31">
        <v>3</v>
      </c>
      <c r="AW5" s="31">
        <v>4</v>
      </c>
      <c r="AX5" s="31">
        <v>5</v>
      </c>
      <c r="AY5" s="31">
        <v>6</v>
      </c>
      <c r="AZ5" s="31">
        <v>7</v>
      </c>
      <c r="BA5" s="31">
        <v>8</v>
      </c>
      <c r="BB5" s="31">
        <v>9</v>
      </c>
      <c r="BC5" s="31">
        <v>10</v>
      </c>
      <c r="BD5" s="31">
        <v>11</v>
      </c>
      <c r="BE5" s="31">
        <v>12</v>
      </c>
      <c r="BF5" s="31">
        <v>13</v>
      </c>
      <c r="BG5" s="31">
        <v>14</v>
      </c>
      <c r="BH5" s="31">
        <v>15</v>
      </c>
      <c r="BI5" s="31">
        <v>16</v>
      </c>
      <c r="BJ5" s="31">
        <v>17</v>
      </c>
      <c r="BK5" s="31">
        <v>18</v>
      </c>
      <c r="BL5" s="31">
        <v>19</v>
      </c>
    </row>
    <row r="6" spans="1:64" s="26" customFormat="1" ht="15" customHeight="1" thickBot="1">
      <c r="A6" s="108"/>
      <c r="B6" s="109"/>
      <c r="C6" s="110"/>
      <c r="D6" s="111"/>
      <c r="E6" s="111"/>
      <c r="F6" s="111"/>
      <c r="I6" s="34" t="str">
        <f t="shared" ref="I6:AS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4" t="str">
        <f t="shared" si="1"/>
        <v>M</v>
      </c>
      <c r="X6" s="35" t="str">
        <f t="shared" si="1"/>
        <v>T</v>
      </c>
      <c r="Y6" s="35" t="str">
        <f t="shared" si="1"/>
        <v>W</v>
      </c>
      <c r="Z6" s="35" t="str">
        <f t="shared" si="1"/>
        <v>T</v>
      </c>
      <c r="AA6" s="35" t="str">
        <f t="shared" si="1"/>
        <v>F</v>
      </c>
      <c r="AB6" s="35" t="str">
        <f t="shared" si="1"/>
        <v>S</v>
      </c>
      <c r="AC6" s="35" t="str">
        <f t="shared" si="1"/>
        <v>S</v>
      </c>
      <c r="AD6" s="34" t="str">
        <f t="shared" si="1"/>
        <v>M</v>
      </c>
      <c r="AE6" s="35" t="str">
        <f t="shared" si="1"/>
        <v>T</v>
      </c>
      <c r="AF6" s="35" t="str">
        <f t="shared" si="1"/>
        <v>W</v>
      </c>
      <c r="AG6" s="35" t="str">
        <f t="shared" si="1"/>
        <v>T</v>
      </c>
      <c r="AH6" s="35" t="str">
        <f t="shared" si="1"/>
        <v>F</v>
      </c>
      <c r="AI6" s="35" t="str">
        <f t="shared" si="1"/>
        <v>S</v>
      </c>
      <c r="AJ6" s="35" t="str">
        <f t="shared" si="1"/>
        <v>S</v>
      </c>
      <c r="AK6" s="34" t="str">
        <f t="shared" si="1"/>
        <v>M</v>
      </c>
      <c r="AL6" s="35" t="str">
        <f t="shared" si="1"/>
        <v>T</v>
      </c>
      <c r="AM6" s="35" t="str">
        <f t="shared" si="1"/>
        <v>W</v>
      </c>
      <c r="AN6" s="35" t="str">
        <f t="shared" si="1"/>
        <v>T</v>
      </c>
      <c r="AO6" s="35" t="str">
        <f t="shared" si="1"/>
        <v>F</v>
      </c>
      <c r="AP6" s="35" t="str">
        <f t="shared" si="1"/>
        <v>S</v>
      </c>
      <c r="AQ6" s="35" t="str">
        <f t="shared" si="1"/>
        <v>S</v>
      </c>
      <c r="AR6" s="34" t="str">
        <f t="shared" si="1"/>
        <v>M</v>
      </c>
      <c r="AS6" s="35" t="str">
        <f t="shared" si="1"/>
        <v>T</v>
      </c>
      <c r="AT6" s="35" t="s">
        <v>12</v>
      </c>
      <c r="AU6" s="35" t="s">
        <v>13</v>
      </c>
      <c r="AV6" s="35" t="s">
        <v>14</v>
      </c>
      <c r="AW6" s="35" t="s">
        <v>15</v>
      </c>
      <c r="AX6" s="35" t="s">
        <v>15</v>
      </c>
      <c r="AY6" s="34" t="s">
        <v>16</v>
      </c>
      <c r="AZ6" s="35" t="s">
        <v>13</v>
      </c>
      <c r="BA6" s="35" t="s">
        <v>12</v>
      </c>
      <c r="BB6" s="35" t="s">
        <v>13</v>
      </c>
      <c r="BC6" s="35" t="s">
        <v>14</v>
      </c>
      <c r="BD6" s="35" t="s">
        <v>15</v>
      </c>
      <c r="BE6" s="35" t="s">
        <v>15</v>
      </c>
      <c r="BF6" s="35" t="s">
        <v>16</v>
      </c>
      <c r="BG6" s="35" t="s">
        <v>13</v>
      </c>
      <c r="BH6" s="35" t="s">
        <v>12</v>
      </c>
      <c r="BI6" s="35" t="s">
        <v>13</v>
      </c>
      <c r="BJ6" s="35" t="s">
        <v>14</v>
      </c>
      <c r="BK6" s="35" t="s">
        <v>15</v>
      </c>
      <c r="BL6" s="36" t="s">
        <v>15</v>
      </c>
    </row>
    <row r="7" spans="1:64" s="26" customFormat="1" ht="30" hidden="1" customHeight="1" thickBot="1">
      <c r="A7" s="13" t="s">
        <v>17</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18</v>
      </c>
      <c r="C8" s="41"/>
      <c r="D8" s="42"/>
      <c r="E8" s="43"/>
      <c r="F8" s="44"/>
      <c r="G8" s="17"/>
      <c r="H8" s="5" t="str">
        <f t="shared" ref="H8:H33" ca="1"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19</v>
      </c>
      <c r="C9" s="48" t="s">
        <v>20</v>
      </c>
      <c r="D9" s="49">
        <v>1</v>
      </c>
      <c r="E9" s="50">
        <v>46076</v>
      </c>
      <c r="F9" s="50">
        <v>46080</v>
      </c>
      <c r="G9" s="17"/>
      <c r="H9" s="5">
        <f t="shared" ca="1" si="2"/>
        <v>5</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2" t="s">
        <v>21</v>
      </c>
      <c r="C10" s="53" t="s">
        <v>22</v>
      </c>
      <c r="D10" s="54">
        <v>1</v>
      </c>
      <c r="E10" s="55">
        <f>Project_Start</f>
        <v>46076</v>
      </c>
      <c r="F10" s="55">
        <v>46080</v>
      </c>
      <c r="G10" s="17"/>
      <c r="H10" s="5">
        <f t="shared" ca="1" si="2"/>
        <v>5</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23</v>
      </c>
      <c r="C11" s="53" t="s">
        <v>24</v>
      </c>
      <c r="D11" s="54">
        <v>1</v>
      </c>
      <c r="E11" s="55">
        <f>Project_Start</f>
        <v>46076</v>
      </c>
      <c r="F11" s="55">
        <v>46080</v>
      </c>
      <c r="G11" s="17"/>
      <c r="H11" s="5">
        <f t="shared" ca="1" si="2"/>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c r="A12" s="13"/>
      <c r="B12" s="52" t="s">
        <v>25</v>
      </c>
      <c r="C12" s="53" t="s">
        <v>26</v>
      </c>
      <c r="D12" s="54">
        <v>1</v>
      </c>
      <c r="E12" s="55">
        <f>Project_Start</f>
        <v>46076</v>
      </c>
      <c r="F12" s="55">
        <v>46080</v>
      </c>
      <c r="G12" s="17"/>
      <c r="H12" s="5">
        <f t="shared" ca="1" si="2"/>
        <v>5</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106" customFormat="1" ht="30" customHeight="1">
      <c r="A13" s="13"/>
      <c r="B13" s="52"/>
      <c r="C13" s="53"/>
      <c r="D13" s="54"/>
      <c r="E13" s="55"/>
      <c r="F13" s="55"/>
      <c r="G13" s="17"/>
      <c r="H13" s="5" t="str">
        <f ca="1">IF(OR(ISBLANK(task_start),ISBLANK(task_end)),"",task_end-task_start+1)</f>
        <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spans="1:64" s="46" customFormat="1" ht="30" customHeight="1">
      <c r="A14" s="14"/>
      <c r="B14" s="57" t="s">
        <v>27</v>
      </c>
      <c r="C14" s="58"/>
      <c r="D14" s="59"/>
      <c r="E14" s="60"/>
      <c r="F14" s="61"/>
      <c r="G14" s="17"/>
      <c r="H14" s="5" t="str">
        <f t="shared" ca="1" si="2"/>
        <v/>
      </c>
    </row>
    <row r="15" spans="1:64" s="46" customFormat="1" ht="30" customHeight="1" thickBot="1">
      <c r="A15" s="14"/>
      <c r="B15" s="62" t="s">
        <v>28</v>
      </c>
      <c r="C15" s="63" t="s">
        <v>26</v>
      </c>
      <c r="D15" s="64">
        <v>0</v>
      </c>
      <c r="E15" s="65">
        <v>46076</v>
      </c>
      <c r="F15" s="65">
        <f>E15+49</f>
        <v>46125</v>
      </c>
      <c r="G15" s="17"/>
      <c r="H15" s="5">
        <f t="shared" ca="1" si="2"/>
        <v>50</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29</v>
      </c>
      <c r="C16" s="63" t="s">
        <v>24</v>
      </c>
      <c r="D16" s="64">
        <v>0</v>
      </c>
      <c r="E16" s="65">
        <f>E15</f>
        <v>46076</v>
      </c>
      <c r="F16" s="65">
        <v>46125</v>
      </c>
      <c r="G16" s="17"/>
      <c r="H16" s="5">
        <f t="shared" ca="1" si="2"/>
        <v>50</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30</v>
      </c>
      <c r="C17" s="63" t="s">
        <v>20</v>
      </c>
      <c r="D17" s="64">
        <v>0</v>
      </c>
      <c r="E17" s="65">
        <v>46076</v>
      </c>
      <c r="F17" s="65">
        <v>46125</v>
      </c>
      <c r="G17" s="17"/>
      <c r="H17" s="5">
        <f t="shared" ca="1" si="2"/>
        <v>50</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31</v>
      </c>
      <c r="C18" s="63" t="s">
        <v>22</v>
      </c>
      <c r="D18" s="64">
        <v>0</v>
      </c>
      <c r="E18" s="65">
        <v>46076</v>
      </c>
      <c r="F18" s="65">
        <v>46125</v>
      </c>
      <c r="G18" s="17"/>
      <c r="H18" s="5">
        <f t="shared" ca="1" si="2"/>
        <v>50</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32</v>
      </c>
      <c r="C19" s="63" t="s">
        <v>26</v>
      </c>
      <c r="D19" s="64">
        <v>0</v>
      </c>
      <c r="E19" s="65">
        <v>46076</v>
      </c>
      <c r="F19" s="65">
        <v>46125</v>
      </c>
      <c r="G19" s="17"/>
      <c r="H19" s="5">
        <f t="shared" ca="1" si="2"/>
        <v>50</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33</v>
      </c>
      <c r="C20" s="67"/>
      <c r="D20" s="68"/>
      <c r="E20" s="69"/>
      <c r="F20" s="70"/>
      <c r="G20" s="17"/>
      <c r="H20" s="5" t="str">
        <f t="shared" ca="1" si="2"/>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34</v>
      </c>
      <c r="C21" s="73" t="s">
        <v>26</v>
      </c>
      <c r="D21" s="74">
        <v>0</v>
      </c>
      <c r="E21" s="75">
        <f>Project_Start</f>
        <v>46076</v>
      </c>
      <c r="F21" s="75">
        <v>46146</v>
      </c>
      <c r="G21" s="17"/>
      <c r="H21" s="5">
        <f t="shared" ca="1" si="2"/>
        <v>71</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35</v>
      </c>
      <c r="C22" s="73" t="s">
        <v>20</v>
      </c>
      <c r="D22" s="74">
        <v>0</v>
      </c>
      <c r="E22" s="75">
        <f>Project_Start</f>
        <v>46076</v>
      </c>
      <c r="F22" s="75">
        <v>46146</v>
      </c>
      <c r="G22" s="17"/>
      <c r="H22" s="5">
        <f t="shared" ca="1" si="2"/>
        <v>71</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36</v>
      </c>
      <c r="C23" s="73" t="s">
        <v>24</v>
      </c>
      <c r="D23" s="74">
        <v>0</v>
      </c>
      <c r="E23" s="75">
        <v>46076</v>
      </c>
      <c r="F23" s="75">
        <v>46146</v>
      </c>
      <c r="G23" s="17"/>
      <c r="H23" s="5">
        <f t="shared" ca="1" si="2"/>
        <v>71</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t="s">
        <v>37</v>
      </c>
      <c r="C24" s="73" t="s">
        <v>22</v>
      </c>
      <c r="D24" s="74">
        <v>0</v>
      </c>
      <c r="E24" s="75">
        <v>46076</v>
      </c>
      <c r="F24" s="75">
        <v>46094</v>
      </c>
      <c r="G24" s="17"/>
      <c r="H24" s="5">
        <f t="shared" ca="1" si="2"/>
        <v>19</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c r="C25" s="73"/>
      <c r="D25" s="74"/>
      <c r="E25" s="75"/>
      <c r="F25" s="75"/>
      <c r="G25" s="17"/>
      <c r="H25" s="5" t="str">
        <f t="shared" ca="1" si="2"/>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38</v>
      </c>
      <c r="C26" s="77"/>
      <c r="D26" s="78"/>
      <c r="E26" s="79"/>
      <c r="F26" s="80"/>
      <c r="G26" s="17"/>
      <c r="H26" s="5" t="str">
        <f t="shared" ca="1" si="2"/>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39</v>
      </c>
      <c r="C27" s="83" t="s">
        <v>26</v>
      </c>
      <c r="D27" s="84">
        <v>0</v>
      </c>
      <c r="E27" s="85">
        <f>Project_Start</f>
        <v>46076</v>
      </c>
      <c r="F27" s="85">
        <v>46150</v>
      </c>
      <c r="G27" s="17"/>
      <c r="H27" s="5">
        <f t="shared" ca="1" si="2"/>
        <v>75</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40</v>
      </c>
      <c r="C28" s="83" t="s">
        <v>20</v>
      </c>
      <c r="D28" s="84">
        <v>0</v>
      </c>
      <c r="E28" s="85">
        <f>Project_Start</f>
        <v>46076</v>
      </c>
      <c r="F28" s="85">
        <v>46150</v>
      </c>
      <c r="G28" s="17"/>
      <c r="H28" s="5">
        <f t="shared" ca="1" si="2"/>
        <v>75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41</v>
      </c>
      <c r="C29" s="83" t="s">
        <v>24</v>
      </c>
      <c r="D29" s="84">
        <v>0</v>
      </c>
      <c r="E29" s="85">
        <f>Project_Start</f>
        <v>46076</v>
      </c>
      <c r="F29" s="85">
        <v>46150</v>
      </c>
      <c r="G29" s="17"/>
      <c r="H29" s="5">
        <f t="shared" ca="1" si="2"/>
        <v>75</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42</v>
      </c>
      <c r="C30" s="83" t="s">
        <v>22</v>
      </c>
      <c r="D30" s="84">
        <v>0</v>
      </c>
      <c r="E30" s="85">
        <f>Project_Start</f>
        <v>46076</v>
      </c>
      <c r="F30" s="85">
        <v>46150</v>
      </c>
      <c r="G30" s="17"/>
      <c r="H30" s="5">
        <f t="shared" ca="1" si="2"/>
        <v>75</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c r="A31" s="13"/>
      <c r="B31" s="82" t="s">
        <v>43</v>
      </c>
      <c r="C31" s="83" t="s">
        <v>44</v>
      </c>
      <c r="D31" s="84">
        <v>0</v>
      </c>
      <c r="E31" s="85">
        <f>Project_Start</f>
        <v>46076</v>
      </c>
      <c r="F31" s="85">
        <v>46150</v>
      </c>
      <c r="G31" s="17"/>
      <c r="H31" s="5">
        <f t="shared" ca="1" si="2"/>
        <v>75</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2"/>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45</v>
      </c>
      <c r="C33" s="91"/>
      <c r="D33" s="92"/>
      <c r="E33" s="93"/>
      <c r="F33" s="94"/>
      <c r="G33" s="17"/>
      <c r="H33" s="6" t="str">
        <f t="shared" ca="1" si="2"/>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46</v>
      </c>
      <c r="B2" s="8"/>
    </row>
    <row r="3" spans="1:2" s="11" customFormat="1" ht="27" customHeight="1">
      <c r="A3" s="100"/>
      <c r="B3" s="12"/>
    </row>
    <row r="4" spans="1:2" s="10" customFormat="1" ht="30">
      <c r="A4" s="101" t="s">
        <v>47</v>
      </c>
    </row>
    <row r="5" spans="1:2" ht="74.25" customHeight="1">
      <c r="A5" s="102" t="s">
        <v>48</v>
      </c>
    </row>
    <row r="6" spans="1:2" ht="26.25" customHeight="1">
      <c r="A6" s="101" t="s">
        <v>49</v>
      </c>
    </row>
    <row r="7" spans="1:2" s="7" customFormat="1" ht="205.15" customHeight="1">
      <c r="A7" s="103" t="s">
        <v>50</v>
      </c>
    </row>
    <row r="8" spans="1:2" s="10" customFormat="1" ht="30">
      <c r="A8" s="101" t="s">
        <v>51</v>
      </c>
    </row>
    <row r="9" spans="1:2" ht="41.45">
      <c r="A9" s="102" t="s">
        <v>52</v>
      </c>
    </row>
    <row r="10" spans="1:2" s="7" customFormat="1" ht="28.15" customHeight="1">
      <c r="A10" s="104" t="s">
        <v>53</v>
      </c>
    </row>
    <row r="11" spans="1:2" s="10" customFormat="1" ht="30">
      <c r="A11" s="101" t="s">
        <v>54</v>
      </c>
    </row>
    <row r="12" spans="1:2" ht="27.6">
      <c r="A12" s="102" t="s">
        <v>55</v>
      </c>
    </row>
    <row r="13" spans="1:2" s="7" customFormat="1" ht="28.15" customHeight="1">
      <c r="A13" s="104" t="s">
        <v>56</v>
      </c>
    </row>
    <row r="14" spans="1:2" s="10" customFormat="1" ht="30">
      <c r="A14" s="101" t="s">
        <v>57</v>
      </c>
    </row>
    <row r="15" spans="1:2" ht="75" customHeight="1">
      <c r="A15" s="102" t="s">
        <v>58</v>
      </c>
    </row>
    <row r="16" spans="1:2" ht="69">
      <c r="A16" s="102" t="s">
        <v>59</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9a9d245aefec63a7eb1e9ebd8146d19e">
  <xsd:schema xmlns:xsd="http://www.w3.org/2001/XMLSchema" xmlns:xs="http://www.w3.org/2001/XMLSchema" xmlns:p="http://schemas.microsoft.com/office/2006/metadata/properties" xmlns:ns3="e9421992-1748-4946-9df7-7dcc5eeedeef" targetNamespace="http://schemas.microsoft.com/office/2006/metadata/properties" ma:root="true" ma:fieldsID="08d975051885e20c36f2846962142d4d"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Props1.xml><?xml version="1.0" encoding="utf-8"?>
<ds:datastoreItem xmlns:ds="http://schemas.openxmlformats.org/officeDocument/2006/customXml" ds:itemID="{6B20787A-8AA1-4E62-8B89-361BE295C545}"/>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Robbins</dc:creator>
  <cp:keywords/>
  <dc:description/>
  <cp:lastModifiedBy>Jaycee Aldrich</cp:lastModifiedBy>
  <cp:revision/>
  <dcterms:created xsi:type="dcterms:W3CDTF">2022-03-11T22:41:12Z</dcterms:created>
  <dcterms:modified xsi:type="dcterms:W3CDTF">2026-04-27T17:22:46Z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